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子系统BOM成本" sheetId="1" state="visible" r:id="rId1"/>
    <sheet xmlns:r="http://schemas.openxmlformats.org/officeDocument/2006/relationships"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OMCost" displayName="BOMCost" ref="A1:G13" headerRowCount="1">
  <autoFilter ref="A1:G13"/>
  <tableColumns count="7">
    <tableColumn id="1" name="零件编号"/>
    <tableColumn id="2" name="单台用量"/>
    <tableColumn id="3" name="基准单价(元)"/>
    <tableColumn id="4" name="现行单价(元)"/>
    <tableColumn id="5" name="基准小计(元)"/>
    <tableColumn id="6" name="现行小计(元)"/>
    <tableColumn id="7" name="单台成本差异(元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零件编号</t>
        </is>
      </c>
      <c r="B1" s="1" t="inlineStr">
        <is>
          <t>单台用量</t>
        </is>
      </c>
      <c r="C1" s="1" t="inlineStr">
        <is>
          <t>基准单价(元)</t>
        </is>
      </c>
      <c r="D1" s="1" t="inlineStr">
        <is>
          <t>现行单价(元)</t>
        </is>
      </c>
      <c r="E1" s="1" t="inlineStr">
        <is>
          <t>基准小计(元)</t>
        </is>
      </c>
      <c r="F1" s="1" t="inlineStr">
        <is>
          <t>现行小计(元)</t>
        </is>
      </c>
      <c r="G1" s="1" t="inlineStr">
        <is>
          <t>单台成本差异(元)</t>
        </is>
      </c>
    </row>
    <row r="2">
      <c r="A2" s="2" t="inlineStr">
        <is>
          <t>P-101</t>
        </is>
      </c>
      <c r="B2" s="3" t="n">
        <v>2</v>
      </c>
      <c r="C2" s="3" t="n">
        <v>500</v>
      </c>
      <c r="D2" s="3" t="n">
        <v>550</v>
      </c>
      <c r="E2" s="4">
        <f>B2*C2</f>
        <v/>
      </c>
      <c r="F2" s="4">
        <f>B2*D2</f>
        <v/>
      </c>
      <c r="G2" s="4">
        <f>F2-E2</f>
        <v/>
      </c>
    </row>
    <row r="3">
      <c r="A3" s="2" t="inlineStr">
        <is>
          <t>P-102</t>
        </is>
      </c>
      <c r="B3" s="3" t="n">
        <v>4</v>
      </c>
      <c r="C3" s="3" t="n">
        <v>20</v>
      </c>
      <c r="D3" s="3" t="n">
        <v>20</v>
      </c>
      <c r="E3" s="4">
        <f>B3*C3</f>
        <v/>
      </c>
      <c r="F3" s="4">
        <f>B3*D3</f>
        <v/>
      </c>
      <c r="G3" s="4">
        <f>F3-E3</f>
        <v/>
      </c>
    </row>
    <row r="4">
      <c r="A4" s="2" t="inlineStr">
        <is>
          <t>P-103</t>
        </is>
      </c>
      <c r="B4" s="3" t="n">
        <v>1</v>
      </c>
      <c r="C4" s="3" t="n">
        <v>150</v>
      </c>
      <c r="D4" s="3" t="n">
        <v>150</v>
      </c>
      <c r="E4" s="4">
        <f>B4*C4</f>
        <v/>
      </c>
      <c r="F4" s="4">
        <f>B4*D4</f>
        <v/>
      </c>
      <c r="G4" s="4">
        <f>F4-E4</f>
        <v/>
      </c>
    </row>
    <row r="5">
      <c r="A5" s="2" t="inlineStr">
        <is>
          <t>P-104</t>
        </is>
      </c>
      <c r="B5" s="3" t="n">
        <v>2</v>
      </c>
      <c r="C5" s="3" t="n">
        <v>80</v>
      </c>
      <c r="D5" s="3" t="n">
        <v>80</v>
      </c>
      <c r="E5" s="4">
        <f>B5*C5</f>
        <v/>
      </c>
      <c r="F5" s="4">
        <f>B5*D5</f>
        <v/>
      </c>
      <c r="G5" s="4">
        <f>F5-E5</f>
        <v/>
      </c>
    </row>
    <row r="6">
      <c r="A6" s="2" t="inlineStr">
        <is>
          <t>P-105</t>
        </is>
      </c>
      <c r="B6" s="3" t="n">
        <v>6</v>
      </c>
      <c r="C6" s="3" t="n">
        <v>5</v>
      </c>
      <c r="D6" s="3" t="n">
        <v>5</v>
      </c>
      <c r="E6" s="4">
        <f>B6*C6</f>
        <v/>
      </c>
      <c r="F6" s="4">
        <f>B6*D6</f>
        <v/>
      </c>
      <c r="G6" s="4">
        <f>F6-E6</f>
        <v/>
      </c>
    </row>
    <row r="7">
      <c r="A7" s="2" t="inlineStr">
        <is>
          <t>P-106</t>
        </is>
      </c>
      <c r="B7" s="3" t="n">
        <v>12</v>
      </c>
      <c r="C7" s="3" t="n">
        <v>1</v>
      </c>
      <c r="D7" s="3" t="n">
        <v>1</v>
      </c>
      <c r="E7" s="4">
        <f>B7*C7</f>
        <v/>
      </c>
      <c r="F7" s="4">
        <f>B7*D7</f>
        <v/>
      </c>
      <c r="G7" s="4">
        <f>F7-E7</f>
        <v/>
      </c>
    </row>
    <row r="8">
      <c r="A8" s="2" t="inlineStr">
        <is>
          <t>P-107</t>
        </is>
      </c>
      <c r="B8" s="3" t="n">
        <v>2</v>
      </c>
      <c r="C8" s="3" t="n">
        <v>15</v>
      </c>
      <c r="D8" s="3" t="n">
        <v>15</v>
      </c>
      <c r="E8" s="4">
        <f>B8*C8</f>
        <v/>
      </c>
      <c r="F8" s="4">
        <f>B8*D8</f>
        <v/>
      </c>
      <c r="G8" s="4">
        <f>F8-E8</f>
        <v/>
      </c>
    </row>
    <row r="9">
      <c r="A9" s="2" t="inlineStr">
        <is>
          <t>P-108</t>
        </is>
      </c>
      <c r="B9" s="3" t="n">
        <v>1</v>
      </c>
      <c r="C9" s="3" t="n">
        <v>400</v>
      </c>
      <c r="D9" s="3" t="n">
        <v>400</v>
      </c>
      <c r="E9" s="4">
        <f>B9*C9</f>
        <v/>
      </c>
      <c r="F9" s="4">
        <f>B9*D9</f>
        <v/>
      </c>
      <c r="G9" s="4">
        <f>F9-E9</f>
        <v/>
      </c>
    </row>
    <row r="10">
      <c r="A10" s="2" t="inlineStr">
        <is>
          <t>P-109</t>
        </is>
      </c>
      <c r="B10" s="3" t="n">
        <v>1</v>
      </c>
      <c r="C10" s="3" t="n">
        <v>200</v>
      </c>
      <c r="D10" s="3" t="n">
        <v>200</v>
      </c>
      <c r="E10" s="4">
        <f>B10*C10</f>
        <v/>
      </c>
      <c r="F10" s="4">
        <f>B10*D10</f>
        <v/>
      </c>
      <c r="G10" s="4">
        <f>F10-E10</f>
        <v/>
      </c>
    </row>
    <row r="11">
      <c r="A11" s="2" t="inlineStr">
        <is>
          <t>P-110</t>
        </is>
      </c>
      <c r="B11" s="3" t="n">
        <v>1</v>
      </c>
      <c r="C11" s="3" t="n">
        <v>120</v>
      </c>
      <c r="D11" s="3" t="n">
        <v>120</v>
      </c>
      <c r="E11" s="4">
        <f>B11*C11</f>
        <v/>
      </c>
      <c r="F11" s="4">
        <f>B11*D11</f>
        <v/>
      </c>
      <c r="G11" s="4">
        <f>F11-E11</f>
        <v/>
      </c>
    </row>
    <row r="12">
      <c r="A12" s="2" t="inlineStr">
        <is>
          <t>P-111</t>
        </is>
      </c>
      <c r="B12" s="3" t="n">
        <v>1</v>
      </c>
      <c r="C12" s="3" t="n">
        <v>300</v>
      </c>
      <c r="D12" s="3" t="n">
        <v>300</v>
      </c>
      <c r="E12" s="4">
        <f>B12*C12</f>
        <v/>
      </c>
      <c r="F12" s="4">
        <f>B12*D12</f>
        <v/>
      </c>
      <c r="G12" s="4">
        <f>F12-E12</f>
        <v/>
      </c>
    </row>
    <row r="13">
      <c r="A13" s="2" t="inlineStr">
        <is>
          <t>P-112</t>
        </is>
      </c>
      <c r="B13" s="3" t="n">
        <v>1</v>
      </c>
      <c r="C13" s="3" t="n">
        <v>100</v>
      </c>
      <c r="D13" s="3" t="n">
        <v>100</v>
      </c>
      <c r="E13" s="4">
        <f>B13*C13</f>
        <v/>
      </c>
      <c r="F13" s="4">
        <f>B13*D13</f>
        <v/>
      </c>
      <c r="G13" s="4">
        <f>F13-E13</f>
        <v/>
      </c>
    </row>
    <row r="14">
      <c r="A14" s="5" t="inlineStr">
        <is>
          <t>局部总成合计</t>
        </is>
      </c>
      <c r="E14" s="6">
        <f>SUM(E2:E13)</f>
        <v/>
      </c>
      <c r="F14" s="6">
        <f>SUM(F2:F13)</f>
        <v/>
      </c>
      <c r="G14" s="6">
        <f>SUM(G2:G13)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7" t="inlineStr">
        <is>
          <t>模拟教学数据，非客户官方业绩或已确认的召回信息。</t>
        </is>
      </c>
    </row>
    <row r="2">
      <c r="A2" s="8" t="inlineStr">
        <is>
          <t>本表为 AB-730 课程虚构训练资料（单位：人民币元 CNY），仅统计虚构局部总成（12 项零件 P-101..P-112），不代表整车 BOM 成本。基准合计 2,582 元，现行合计 2,682 元，差异 +100 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AB-730 demo</dc:creator>
  <dc:description xmlns:dc="http://purl.org/dc/elements/1.1/">Fictional training data, not customer-reported results.</dc:description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