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交期追踪" sheetId="1" state="visible" r:id="rId1"/>
    <sheet xmlns:r="http://schemas.openxmlformats.org/officeDocument/2006/relationships" name="演示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  <color rgb="00000000"/>
    </font>
    <font>
      <name val="Arial"/>
      <b val="1"/>
      <color rgb="009C2F2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74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upplierDelivery" displayName="SupplierDelivery" ref="A1:J6" headerRowCount="1">
  <autoFilter ref="A1:J6"/>
  <tableColumns count="10">
    <tableColumn id="1" name="采购单号"/>
    <tableColumn id="2" name="零件编号"/>
    <tableColumn id="3" name="供应商编号"/>
    <tableColumn id="4" name="承诺交期"/>
    <tableColumn id="5" name="实际到货日"/>
    <tableColumn id="6" name="计划数量"/>
    <tableColumn id="7" name="实收数量"/>
    <tableColumn id="8" name="缺口数量"/>
    <tableColumn id="9" name="准时状态"/>
    <tableColumn id="10" name="交期达成率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4" customWidth="1" min="5" max="5"/>
    <col width="15" customWidth="1" min="6" max="6"/>
    <col width="15" customWidth="1" min="7" max="7"/>
    <col width="15" customWidth="1" min="8" max="8"/>
    <col width="13" customWidth="1" min="9" max="9"/>
    <col width="36" customWidth="1" min="10" max="10"/>
  </cols>
  <sheetData>
    <row r="1">
      <c r="A1" s="1" t="inlineStr">
        <is>
          <t>采购单号</t>
        </is>
      </c>
      <c r="B1" s="1" t="inlineStr">
        <is>
          <t>零件编号</t>
        </is>
      </c>
      <c r="C1" s="1" t="inlineStr">
        <is>
          <t>供应商编号</t>
        </is>
      </c>
      <c r="D1" s="1" t="inlineStr">
        <is>
          <t>承诺交期</t>
        </is>
      </c>
      <c r="E1" s="1" t="inlineStr">
        <is>
          <t>实际到货日</t>
        </is>
      </c>
      <c r="F1" s="1" t="inlineStr">
        <is>
          <t>计划数量</t>
        </is>
      </c>
      <c r="G1" s="1" t="inlineStr">
        <is>
          <t>实收数量</t>
        </is>
      </c>
      <c r="H1" s="1" t="inlineStr">
        <is>
          <t>缺口数量</t>
        </is>
      </c>
      <c r="I1" s="1" t="inlineStr">
        <is>
          <t>准时状态</t>
        </is>
      </c>
      <c r="J1" s="1" t="inlineStr">
        <is>
          <t>交期达成率</t>
        </is>
      </c>
    </row>
    <row r="2">
      <c r="A2" s="2" t="inlineStr">
        <is>
          <t>PO-001</t>
        </is>
      </c>
      <c r="B2" s="2" t="inlineStr">
        <is>
          <t>P-101</t>
        </is>
      </c>
      <c r="C2" s="2" t="inlineStr">
        <is>
          <t>S-01</t>
        </is>
      </c>
      <c r="D2" s="3" t="n">
        <v>46305</v>
      </c>
      <c r="E2" s="3" t="n">
        <v>46305</v>
      </c>
      <c r="F2" s="4" t="n">
        <v>300</v>
      </c>
      <c r="G2" s="4" t="n">
        <v>300</v>
      </c>
      <c r="H2" s="5">
        <f>F2-G2</f>
        <v/>
      </c>
      <c r="I2" s="2" t="inlineStr">
        <is>
          <t>OnTime</t>
        </is>
      </c>
      <c r="J2" s="6">
        <f>IF(F2=0,"N/A",G2/F2)</f>
        <v/>
      </c>
    </row>
    <row r="3">
      <c r="A3" s="2" t="inlineStr">
        <is>
          <t>PO-002</t>
        </is>
      </c>
      <c r="B3" s="2" t="inlineStr">
        <is>
          <t>P-103</t>
        </is>
      </c>
      <c r="C3" s="2" t="inlineStr">
        <is>
          <t>S-02</t>
        </is>
      </c>
      <c r="D3" s="3" t="n">
        <v>46306</v>
      </c>
      <c r="E3" s="3" t="n">
        <v>46308</v>
      </c>
      <c r="F3" s="4" t="n">
        <v>300</v>
      </c>
      <c r="G3" s="4" t="n">
        <v>250</v>
      </c>
      <c r="H3" s="5">
        <f>F3-G3</f>
        <v/>
      </c>
      <c r="I3" s="2" t="inlineStr">
        <is>
          <t>Delayed</t>
        </is>
      </c>
      <c r="J3" s="6">
        <f>IF(F3=0,"N/A",G3/F3)</f>
        <v/>
      </c>
    </row>
    <row r="4">
      <c r="A4" s="2" t="inlineStr">
        <is>
          <t>PO-003</t>
        </is>
      </c>
      <c r="B4" s="2" t="inlineStr">
        <is>
          <t>P-104</t>
        </is>
      </c>
      <c r="C4" s="2" t="inlineStr">
        <is>
          <t>S-03</t>
        </is>
      </c>
      <c r="D4" s="3" t="n">
        <v>46307</v>
      </c>
      <c r="E4" s="3" t="n">
        <v>46307</v>
      </c>
      <c r="F4" s="4" t="n">
        <v>200</v>
      </c>
      <c r="G4" s="4" t="n">
        <v>200</v>
      </c>
      <c r="H4" s="5">
        <f>F4-G4</f>
        <v/>
      </c>
      <c r="I4" s="2" t="inlineStr">
        <is>
          <t>OnTime</t>
        </is>
      </c>
      <c r="J4" s="6">
        <f>IF(F4=0,"N/A",G4/F4)</f>
        <v/>
      </c>
    </row>
    <row r="5">
      <c r="A5" s="2" t="inlineStr">
        <is>
          <t>PO-004</t>
        </is>
      </c>
      <c r="B5" s="2" t="inlineStr">
        <is>
          <t>P-108</t>
        </is>
      </c>
      <c r="C5" s="2" t="inlineStr">
        <is>
          <t>S-04</t>
        </is>
      </c>
      <c r="D5" s="3" t="n">
        <v>46308</v>
      </c>
      <c r="E5" s="3" t="n">
        <v>46309</v>
      </c>
      <c r="F5" s="4" t="n">
        <v>200</v>
      </c>
      <c r="G5" s="4" t="n">
        <v>150</v>
      </c>
      <c r="H5" s="5">
        <f>F5-G5</f>
        <v/>
      </c>
      <c r="I5" s="2" t="inlineStr">
        <is>
          <t>Delayed</t>
        </is>
      </c>
      <c r="J5" s="6">
        <f>IF(F5=0,"N/A",G5/F5)</f>
        <v/>
      </c>
    </row>
    <row r="6">
      <c r="A6" s="2" t="inlineStr">
        <is>
          <t>PO-005</t>
        </is>
      </c>
      <c r="B6" s="2" t="inlineStr">
        <is>
          <t>P-111</t>
        </is>
      </c>
      <c r="C6" s="2" t="inlineStr">
        <is>
          <t>S-02</t>
        </is>
      </c>
      <c r="D6" s="3" t="n">
        <v>46309</v>
      </c>
      <c r="E6" s="2" t="n"/>
      <c r="F6" s="4" t="n">
        <v>200</v>
      </c>
      <c r="G6" s="4" t="n">
        <v>150</v>
      </c>
      <c r="H6" s="5">
        <f>F6-G6</f>
        <v/>
      </c>
      <c r="I6" s="2" t="inlineStr">
        <is>
          <t>Unknown</t>
        </is>
      </c>
      <c r="J6" s="6">
        <f>IF(F6=0,"N/A",G6/F6)</f>
        <v/>
      </c>
    </row>
    <row r="7">
      <c r="A7" s="7" t="inlineStr">
        <is>
          <t>合计</t>
        </is>
      </c>
      <c r="F7" s="8">
        <f>SUM(F2:F6)</f>
        <v/>
      </c>
      <c r="G7" s="8">
        <f>SUM(G2:G6)</f>
        <v/>
      </c>
      <c r="H7" s="8">
        <f>SUM(H2:H6)</f>
        <v/>
      </c>
      <c r="J7" s="9">
        <f>IF(SUM(F2:F6)=0,"N/A",SUM(G2:G6)/SUM(F2:F6))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0" t="inlineStr">
        <is>
          <t>模拟教学数据，非客户官方业绩或已确认的召回信息。</t>
        </is>
      </c>
    </row>
    <row r="2">
      <c r="A2" s="11" t="inlineStr">
        <is>
          <t>本表为 AB-730 课程虚构训练资料。五笔采购单计划交货合计 1,200 件，实收合计 1,050 件，交期缺口 150 件（PO-005 实际到货日为空，准时状态 Unknown，标记 D-01，不得默认视为准时）。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AB-730 demo</dc:creator>
  <dc:description xmlns:dc="http://purl.org/dc/elements/1.1/">Fictional training data, not customer-reported results.</dc:description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